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536B6589-A72A-42D2-BD6A-DD8DE775A296}" xr6:coauthVersionLast="36" xr6:coauthVersionMax="36" xr10:uidLastSave="{00000000-0000-0000-0000-000000000000}"/>
  <bookViews>
    <workbookView xWindow="-120" yWindow="-120" windowWidth="20730" windowHeight="11160" xr2:uid="{00000000-000D-0000-FFFF-FFFF00000000}"/>
  </bookViews>
  <sheets>
    <sheet name="Base" sheetId="2" r:id="rId1"/>
    <sheet name="Hoja1" sheetId="3" r:id="rId2"/>
  </sheets>
  <definedNames>
    <definedName name="Dos">Base!$B$2:$J$69</definedName>
    <definedName name="ID">Base!$A$2:$A$69</definedName>
    <definedName name="lstBusqueda">Base!$L$2:$L$3</definedName>
    <definedName name="Uno">Base!$A$2:$J$69</definedName>
  </definedNames>
  <calcPr calcId="191029"/>
</workbook>
</file>

<file path=xl/calcChain.xml><?xml version="1.0" encoding="utf-8"?>
<calcChain xmlns="http://schemas.openxmlformats.org/spreadsheetml/2006/main">
  <c r="A70" i="2" l="1"/>
  <c r="B2" i="2" l="1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A3" i="2" l="1"/>
  <c r="A4" i="2" l="1"/>
  <c r="A5" i="2" l="1"/>
  <c r="A6" i="2" l="1"/>
  <c r="A7" i="2" l="1"/>
  <c r="A8" i="2" l="1"/>
  <c r="A9" i="2" l="1"/>
  <c r="A10" i="2" l="1"/>
  <c r="A11" i="2" l="1"/>
  <c r="A12" i="2" l="1"/>
  <c r="A13" i="2" l="1"/>
  <c r="A14" i="2" l="1"/>
  <c r="A15" i="2" l="1"/>
  <c r="A16" i="2" l="1"/>
  <c r="A17" i="2" l="1"/>
  <c r="A18" i="2" l="1"/>
  <c r="A19" i="2" l="1"/>
  <c r="A20" i="2" l="1"/>
  <c r="A21" i="2" l="1"/>
  <c r="A22" i="2" l="1"/>
  <c r="A23" i="2" l="1"/>
  <c r="A24" i="2" l="1"/>
  <c r="A25" i="2" l="1"/>
  <c r="A26" i="2" l="1"/>
  <c r="A27" i="2" l="1"/>
  <c r="A28" i="2" l="1"/>
  <c r="A29" i="2" l="1"/>
  <c r="A30" i="2" l="1"/>
  <c r="A31" i="2" l="1"/>
  <c r="A32" i="2" l="1"/>
  <c r="A33" i="2" l="1"/>
  <c r="A34" i="2" l="1"/>
  <c r="A35" i="2" l="1"/>
  <c r="A36" i="2" l="1"/>
  <c r="A37" i="2" l="1"/>
  <c r="A38" i="2" l="1"/>
  <c r="A39" i="2" l="1"/>
  <c r="A40" i="2" l="1"/>
  <c r="A41" i="2" l="1"/>
  <c r="A42" i="2" l="1"/>
  <c r="A43" i="2" l="1"/>
  <c r="A44" i="2" l="1"/>
  <c r="A45" i="2" l="1"/>
  <c r="A46" i="2" l="1"/>
  <c r="A47" i="2" l="1"/>
  <c r="A48" i="2" l="1"/>
  <c r="A49" i="2" l="1"/>
  <c r="A50" i="2" l="1"/>
  <c r="A51" i="2" l="1"/>
  <c r="A52" i="2" l="1"/>
  <c r="A53" i="2" l="1"/>
  <c r="A54" i="2" l="1"/>
  <c r="A55" i="2" l="1"/>
  <c r="A56" i="2" l="1"/>
  <c r="A57" i="2" l="1"/>
  <c r="A58" i="2" l="1"/>
  <c r="A59" i="2" l="1"/>
  <c r="A60" i="2" l="1"/>
  <c r="A61" i="2" l="1"/>
  <c r="A62" i="2" l="1"/>
  <c r="A63" i="2" l="1"/>
  <c r="A64" i="2" l="1"/>
  <c r="A65" i="2" l="1"/>
  <c r="A66" i="2" l="1"/>
  <c r="A67" i="2" l="1"/>
  <c r="A68" i="2" l="1"/>
  <c r="A69" i="2" l="1"/>
</calcChain>
</file>

<file path=xl/sharedStrings.xml><?xml version="1.0" encoding="utf-8"?>
<sst xmlns="http://schemas.openxmlformats.org/spreadsheetml/2006/main" count="452" uniqueCount="199">
  <si>
    <t>ID</t>
  </si>
  <si>
    <t>BUSQUEDA</t>
  </si>
  <si>
    <t>NOMBRE</t>
  </si>
  <si>
    <t>EDAD</t>
  </si>
  <si>
    <t>PUESTO</t>
  </si>
  <si>
    <t>EXPERIENCIA</t>
  </si>
  <si>
    <t>DEPARTAMENTO</t>
  </si>
  <si>
    <t>PATERNO</t>
  </si>
  <si>
    <t>MATERNO</t>
  </si>
  <si>
    <t>N_COMPLETO</t>
  </si>
  <si>
    <t>GUZMAN</t>
  </si>
  <si>
    <t>CORTES</t>
  </si>
  <si>
    <t>MARTINEZ</t>
  </si>
  <si>
    <t>ANDRES</t>
  </si>
  <si>
    <t>CUENCA</t>
  </si>
  <si>
    <t>GARCIA</t>
  </si>
  <si>
    <t>JESUS ABRAHAM</t>
  </si>
  <si>
    <t>HERNANDEZ</t>
  </si>
  <si>
    <t>RAMOS</t>
  </si>
  <si>
    <t>CARLA JAZMIN</t>
  </si>
  <si>
    <t>VIRGEN</t>
  </si>
  <si>
    <t>JOSE ISRAEL</t>
  </si>
  <si>
    <t>HINOSTROZA</t>
  </si>
  <si>
    <t>MEDINA</t>
  </si>
  <si>
    <t>MARCO ANTONIO</t>
  </si>
  <si>
    <t>HIGUERA</t>
  </si>
  <si>
    <t>CARLOS IGNACIO</t>
  </si>
  <si>
    <t>RAMIREZ</t>
  </si>
  <si>
    <t>OSCAR EDUARDO</t>
  </si>
  <si>
    <t>SANDOVAL</t>
  </si>
  <si>
    <t>MARISCAL</t>
  </si>
  <si>
    <t>LUIS HUMBERTO</t>
  </si>
  <si>
    <t>RODRIGUEZ</t>
  </si>
  <si>
    <t>BALLESCA</t>
  </si>
  <si>
    <t>MARIANA</t>
  </si>
  <si>
    <t>CONTRERAS</t>
  </si>
  <si>
    <t>RIOS</t>
  </si>
  <si>
    <t>SANTIAGO</t>
  </si>
  <si>
    <t>RIVERA</t>
  </si>
  <si>
    <t>ANGEL MARTIN</t>
  </si>
  <si>
    <t>IBARRA</t>
  </si>
  <si>
    <t>CASTELLANOS</t>
  </si>
  <si>
    <t>CESAR DAMIAN</t>
  </si>
  <si>
    <t>LOPEZ</t>
  </si>
  <si>
    <t>FLAVIO ARMANDO</t>
  </si>
  <si>
    <t>RENTERIA</t>
  </si>
  <si>
    <t>PORTUGAL</t>
  </si>
  <si>
    <t>VIRGINIA LLOLIZTLY NAIVY</t>
  </si>
  <si>
    <t>MORAN</t>
  </si>
  <si>
    <t>ADRIAN OLEGARIO</t>
  </si>
  <si>
    <t>AGUILAR</t>
  </si>
  <si>
    <t>BAUTISTA</t>
  </si>
  <si>
    <t>ZURISADAI</t>
  </si>
  <si>
    <t>ALEMAN</t>
  </si>
  <si>
    <t>ERICK ALEJANDRO</t>
  </si>
  <si>
    <t>ALONSO</t>
  </si>
  <si>
    <t>CAMACHO</t>
  </si>
  <si>
    <t>DAVID</t>
  </si>
  <si>
    <t>ALVAREZ</t>
  </si>
  <si>
    <t>JORGE OMAR</t>
  </si>
  <si>
    <t>ANTONIO</t>
  </si>
  <si>
    <t>PEREZ</t>
  </si>
  <si>
    <t>NADIA SUSANA</t>
  </si>
  <si>
    <t>ARIAS</t>
  </si>
  <si>
    <t>VAZQUEZ</t>
  </si>
  <si>
    <t>MARIA PAULINA</t>
  </si>
  <si>
    <t>BARCENA</t>
  </si>
  <si>
    <t>ARAIZA</t>
  </si>
  <si>
    <t>ZUÑIGA</t>
  </si>
  <si>
    <t>LUIS ROBERTO</t>
  </si>
  <si>
    <t>CHINAS</t>
  </si>
  <si>
    <t>JIMENEZ</t>
  </si>
  <si>
    <t>JUANA ISABEL</t>
  </si>
  <si>
    <t>GALINDO</t>
  </si>
  <si>
    <t>HERRERA</t>
  </si>
  <si>
    <t>OMAR ARTURO</t>
  </si>
  <si>
    <t>AVILA</t>
  </si>
  <si>
    <t>JOSE ANTONIO</t>
  </si>
  <si>
    <t>OLIDEN</t>
  </si>
  <si>
    <t>NORMA ATHENEA</t>
  </si>
  <si>
    <t>GOMEZ</t>
  </si>
  <si>
    <t>ROBERTO ASAEL</t>
  </si>
  <si>
    <t>MALDONADO</t>
  </si>
  <si>
    <t>SERGIO RAMON</t>
  </si>
  <si>
    <t>OLCY JANETH</t>
  </si>
  <si>
    <t>DE SANTIAGO</t>
  </si>
  <si>
    <t>JESSICA ELIZABETH</t>
  </si>
  <si>
    <t>LAURA KARINA</t>
  </si>
  <si>
    <t>ARRIAGA</t>
  </si>
  <si>
    <t>HUGO RENE</t>
  </si>
  <si>
    <t>CASTRO</t>
  </si>
  <si>
    <t>NORMA ALEJANDRA</t>
  </si>
  <si>
    <t>LEDESMA</t>
  </si>
  <si>
    <t>DE LA TORRE</t>
  </si>
  <si>
    <t>KAREM JHOANA</t>
  </si>
  <si>
    <t>JUAN ANTONIO</t>
  </si>
  <si>
    <t>MANZO</t>
  </si>
  <si>
    <t>TORRES</t>
  </si>
  <si>
    <t>BRYAN EDUARDO</t>
  </si>
  <si>
    <t>CISNEROS</t>
  </si>
  <si>
    <t>JUAN LESTER</t>
  </si>
  <si>
    <t>GUTIERREZ</t>
  </si>
  <si>
    <t>ZAIRA GUADALUPE</t>
  </si>
  <si>
    <t>MONJARAZ</t>
  </si>
  <si>
    <t>DIAZ</t>
  </si>
  <si>
    <t>CARLOS ENRIQUE</t>
  </si>
  <si>
    <t>MORALES</t>
  </si>
  <si>
    <t>AMEZCUA</t>
  </si>
  <si>
    <t>JOSE SABINO</t>
  </si>
  <si>
    <t>OCHOA</t>
  </si>
  <si>
    <t>ALEJANDRO DE JESUS</t>
  </si>
  <si>
    <t>JULIAN</t>
  </si>
  <si>
    <t>LAURA ANGELICA</t>
  </si>
  <si>
    <t>MARLEN PAOLA</t>
  </si>
  <si>
    <t>RUIZ</t>
  </si>
  <si>
    <t>SERGIO ALONSO</t>
  </si>
  <si>
    <t>SANCHEZ</t>
  </si>
  <si>
    <t>LUIS RICARDO</t>
  </si>
  <si>
    <t>SEGOVIANO</t>
  </si>
  <si>
    <t>RUBIO</t>
  </si>
  <si>
    <t>MONICA ALEJANDRA</t>
  </si>
  <si>
    <t>ZURY NEREIDA</t>
  </si>
  <si>
    <t>UREÑA</t>
  </si>
  <si>
    <t>MACIAS</t>
  </si>
  <si>
    <t>ADAME</t>
  </si>
  <si>
    <t>POZAS</t>
  </si>
  <si>
    <t>GABRIELA</t>
  </si>
  <si>
    <t>VILLALPANDO</t>
  </si>
  <si>
    <t>AVILES</t>
  </si>
  <si>
    <t>ANDRADE</t>
  </si>
  <si>
    <t>RUBENS RICARDO</t>
  </si>
  <si>
    <t>BATISTA</t>
  </si>
  <si>
    <t>ROSA ALEJANDRA</t>
  </si>
  <si>
    <t>CAMPOS</t>
  </si>
  <si>
    <t>GUIDO</t>
  </si>
  <si>
    <t>LUZ ISELA</t>
  </si>
  <si>
    <t>CRUZ</t>
  </si>
  <si>
    <t>ROSAS</t>
  </si>
  <si>
    <t>FERNANDO ISAAC</t>
  </si>
  <si>
    <t>ESTRADA</t>
  </si>
  <si>
    <t>BALLESTEROS</t>
  </si>
  <si>
    <t>MIGUEL ANGEL</t>
  </si>
  <si>
    <t>FLORES</t>
  </si>
  <si>
    <t>JOSE ENRIQUE</t>
  </si>
  <si>
    <t>GONZALEZ</t>
  </si>
  <si>
    <t>VILLEGAS</t>
  </si>
  <si>
    <t>NORMA ELIZABETH</t>
  </si>
  <si>
    <t>CARRASCO</t>
  </si>
  <si>
    <t>JULY WENDOLIN</t>
  </si>
  <si>
    <t>LARA</t>
  </si>
  <si>
    <t>CARLOS ALBERTO</t>
  </si>
  <si>
    <t>LOMELI</t>
  </si>
  <si>
    <t>ARMANDO</t>
  </si>
  <si>
    <t>JONATHAN</t>
  </si>
  <si>
    <t>REYNOSO</t>
  </si>
  <si>
    <t>VELA</t>
  </si>
  <si>
    <t>JORDAN DE JESUS</t>
  </si>
  <si>
    <t>VALERA</t>
  </si>
  <si>
    <t>GABRIEL ALEJANDRO</t>
  </si>
  <si>
    <t>ORNELAS</t>
  </si>
  <si>
    <t>MILAGROS KRISTAL</t>
  </si>
  <si>
    <t>AM-MISAD-DAI</t>
  </si>
  <si>
    <t>COORDINADOR</t>
  </si>
  <si>
    <t>LIDER</t>
  </si>
  <si>
    <t>SUPERVISOR</t>
  </si>
  <si>
    <t>AGENTE</t>
  </si>
  <si>
    <t>AUXILIAR</t>
  </si>
  <si>
    <t>OPERACIONES</t>
  </si>
  <si>
    <t>CALIDAD</t>
  </si>
  <si>
    <t>MARKETING</t>
  </si>
  <si>
    <t>PRODUCCION</t>
  </si>
  <si>
    <t>RH</t>
  </si>
  <si>
    <t>VENTAS</t>
  </si>
  <si>
    <t>6 AÑOS</t>
  </si>
  <si>
    <t>10 AÑOS</t>
  </si>
  <si>
    <t>13 AÑOS</t>
  </si>
  <si>
    <t>7 AÑOS</t>
  </si>
  <si>
    <t>8 AÑOS</t>
  </si>
  <si>
    <t>12 AÑOS</t>
  </si>
  <si>
    <t>15 AÑOS</t>
  </si>
  <si>
    <t>3 AÑOS</t>
  </si>
  <si>
    <t>11 AÑOS</t>
  </si>
  <si>
    <t>9 AÑOS</t>
  </si>
  <si>
    <t>1 AÑOS</t>
  </si>
  <si>
    <t>4 AÑOS</t>
  </si>
  <si>
    <t>5 AÑOS</t>
  </si>
  <si>
    <t>2 AÑOS</t>
  </si>
  <si>
    <t>14 AÑOS</t>
  </si>
  <si>
    <t>SERGIO ALEJANDRO</t>
  </si>
  <si>
    <t>WEBMASTER</t>
  </si>
  <si>
    <t>EXCELEINFO</t>
  </si>
  <si>
    <t>EXCEL</t>
  </si>
  <si>
    <t>YESID ENRIQUE MARTINEZ MERCADO</t>
  </si>
  <si>
    <t>YESID ENRIQUE</t>
  </si>
  <si>
    <t>MERCADO</t>
  </si>
  <si>
    <t>JORGE ENRIQUE CONTRERAS SUAREZ</t>
  </si>
  <si>
    <t>JORGE ENRIQUE</t>
  </si>
  <si>
    <t>SUAREZ</t>
  </si>
  <si>
    <t>ADMINISTRACION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</si>
</sst>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10</xdr:row>
      <xdr:rowOff>66675</xdr:rowOff>
    </xdr:from>
    <xdr:to>
      <xdr:col>8</xdr:col>
      <xdr:colOff>666750</xdr:colOff>
      <xdr:row>16</xdr:row>
      <xdr:rowOff>57150</xdr:rowOff>
    </xdr:to>
    <xdr:sp macro="[0]!Macro5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F7C319-D779-4485-A2F4-C446F17AE0B6}"/>
            </a:ext>
          </a:extLst>
        </xdr:cNvPr>
        <xdr:cNvSpPr/>
      </xdr:nvSpPr>
      <xdr:spPr>
        <a:xfrm>
          <a:off x="6934200" y="1971675"/>
          <a:ext cx="3086100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4000"/>
            <a:t>macro 5</a:t>
          </a:r>
        </a:p>
        <a:p>
          <a:pPr algn="l"/>
          <a:endParaRPr lang="es-CO" sz="40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72"/>
  <sheetViews>
    <sheetView tabSelected="1" topLeftCell="A51" zoomScale="93" zoomScaleNormal="93" workbookViewId="0">
      <selection activeCell="A72" sqref="A72"/>
    </sheetView>
  </sheetViews>
  <sheetFormatPr baseColWidth="10" defaultRowHeight="15" x14ac:dyDescent="0.25"/>
  <cols>
    <col min="1" max="1" width="13.140625" customWidth="1"/>
    <col min="2" max="2" width="43.7109375" bestFit="1" customWidth="1"/>
    <col min="3" max="3" width="20.7109375" bestFit="1" customWidth="1"/>
    <col min="4" max="4" width="10.5703125" bestFit="1" customWidth="1"/>
    <col min="5" max="5" width="11.42578125" bestFit="1" customWidth="1"/>
    <col min="6" max="6" width="5.85546875" bestFit="1" customWidth="1"/>
    <col min="7" max="7" width="7.85546875" bestFit="1" customWidth="1"/>
    <col min="8" max="8" width="15.7109375" bestFit="1" customWidth="1"/>
    <col min="9" max="9" width="11.85546875" bestFit="1" customWidth="1"/>
    <col min="10" max="10" width="12.42578125" bestFit="1" customWidth="1"/>
    <col min="12" max="12" width="10.7109375" bestFit="1" customWidth="1"/>
  </cols>
  <sheetData>
    <row r="1" spans="1:12" x14ac:dyDescent="0.25">
      <c r="A1" s="1" t="s">
        <v>0</v>
      </c>
      <c r="B1" s="1" t="s">
        <v>9</v>
      </c>
      <c r="C1" s="1" t="s">
        <v>2</v>
      </c>
      <c r="D1" s="1" t="s">
        <v>7</v>
      </c>
      <c r="E1" s="1" t="s">
        <v>8</v>
      </c>
      <c r="F1" s="1" t="s">
        <v>3</v>
      </c>
      <c r="G1" s="1" t="s">
        <v>4</v>
      </c>
      <c r="H1" s="1" t="s">
        <v>6</v>
      </c>
      <c r="I1" s="1" t="s">
        <v>172</v>
      </c>
      <c r="J1" s="1" t="s">
        <v>5</v>
      </c>
      <c r="L1" s="1" t="s">
        <v>1</v>
      </c>
    </row>
    <row r="2" spans="1:12" x14ac:dyDescent="0.25">
      <c r="A2">
        <v>1001</v>
      </c>
      <c r="B2" t="str">
        <f t="shared" ref="B2:B33" si="0">D2&amp;" "&amp;E2&amp;" "&amp;C2</f>
        <v>CAMPOS HERNANDEZ SERGIO ALEJANDRO</v>
      </c>
      <c r="C2" t="s">
        <v>188</v>
      </c>
      <c r="D2" t="s">
        <v>133</v>
      </c>
      <c r="E2" t="s">
        <v>17</v>
      </c>
      <c r="F2">
        <v>30</v>
      </c>
      <c r="G2" t="s">
        <v>189</v>
      </c>
      <c r="H2" t="s">
        <v>190</v>
      </c>
      <c r="I2">
        <v>0</v>
      </c>
      <c r="J2" t="s">
        <v>186</v>
      </c>
      <c r="L2" t="s">
        <v>0</v>
      </c>
    </row>
    <row r="3" spans="1:12" x14ac:dyDescent="0.25">
      <c r="A3">
        <f t="shared" ref="A3:A34" si="1">+A2+1</f>
        <v>1002</v>
      </c>
      <c r="B3" t="str">
        <f t="shared" si="0"/>
        <v>CORTES MARTINEZ ANDRES</v>
      </c>
      <c r="C3" t="s">
        <v>13</v>
      </c>
      <c r="D3" t="s">
        <v>11</v>
      </c>
      <c r="E3" t="s">
        <v>12</v>
      </c>
      <c r="F3">
        <v>20</v>
      </c>
      <c r="G3" t="s">
        <v>166</v>
      </c>
      <c r="H3" t="s">
        <v>167</v>
      </c>
      <c r="I3">
        <v>6937</v>
      </c>
      <c r="J3" t="s">
        <v>174</v>
      </c>
      <c r="L3" t="s">
        <v>2</v>
      </c>
    </row>
    <row r="4" spans="1:12" x14ac:dyDescent="0.25">
      <c r="A4">
        <f t="shared" si="1"/>
        <v>1003</v>
      </c>
      <c r="B4" t="str">
        <f t="shared" si="0"/>
        <v>CUENCA GARCIA JESUS ABRAHAM</v>
      </c>
      <c r="C4" t="s">
        <v>16</v>
      </c>
      <c r="D4" t="s">
        <v>14</v>
      </c>
      <c r="E4" t="s">
        <v>15</v>
      </c>
      <c r="F4">
        <v>23</v>
      </c>
      <c r="G4" t="s">
        <v>166</v>
      </c>
      <c r="H4" t="s">
        <v>169</v>
      </c>
      <c r="I4">
        <v>4165</v>
      </c>
      <c r="J4" t="s">
        <v>174</v>
      </c>
    </row>
    <row r="5" spans="1:12" x14ac:dyDescent="0.25">
      <c r="A5">
        <f t="shared" si="1"/>
        <v>1004</v>
      </c>
      <c r="B5" t="str">
        <f t="shared" si="0"/>
        <v>HERNANDEZ RAMOS CARLA JAZMIN</v>
      </c>
      <c r="C5" t="s">
        <v>19</v>
      </c>
      <c r="D5" t="s">
        <v>17</v>
      </c>
      <c r="E5" t="s">
        <v>18</v>
      </c>
      <c r="F5">
        <v>29</v>
      </c>
      <c r="G5" t="s">
        <v>166</v>
      </c>
      <c r="H5" t="s">
        <v>167</v>
      </c>
      <c r="I5">
        <v>9211</v>
      </c>
      <c r="J5" t="s">
        <v>175</v>
      </c>
    </row>
    <row r="6" spans="1:12" x14ac:dyDescent="0.25">
      <c r="A6">
        <f t="shared" si="1"/>
        <v>1005</v>
      </c>
      <c r="B6" t="str">
        <f t="shared" si="0"/>
        <v>HERNANDEZ VIRGEN JOSE ISRAEL</v>
      </c>
      <c r="C6" t="s">
        <v>21</v>
      </c>
      <c r="D6" t="s">
        <v>17</v>
      </c>
      <c r="E6" t="s">
        <v>20</v>
      </c>
      <c r="F6">
        <v>24</v>
      </c>
      <c r="G6" t="s">
        <v>166</v>
      </c>
      <c r="H6" t="s">
        <v>169</v>
      </c>
      <c r="I6">
        <v>6383</v>
      </c>
      <c r="J6" t="s">
        <v>176</v>
      </c>
    </row>
    <row r="7" spans="1:12" x14ac:dyDescent="0.25">
      <c r="A7">
        <f t="shared" si="1"/>
        <v>1006</v>
      </c>
      <c r="B7" t="str">
        <f t="shared" si="0"/>
        <v>HINOSTROZA MEDINA MARCO ANTONIO</v>
      </c>
      <c r="C7" t="s">
        <v>24</v>
      </c>
      <c r="D7" t="s">
        <v>22</v>
      </c>
      <c r="E7" t="s">
        <v>23</v>
      </c>
      <c r="F7">
        <v>28</v>
      </c>
      <c r="G7" t="s">
        <v>165</v>
      </c>
      <c r="H7" t="s">
        <v>169</v>
      </c>
      <c r="I7">
        <v>1741</v>
      </c>
      <c r="J7" t="s">
        <v>177</v>
      </c>
    </row>
    <row r="8" spans="1:12" x14ac:dyDescent="0.25">
      <c r="A8">
        <f t="shared" si="1"/>
        <v>1007</v>
      </c>
      <c r="B8" t="str">
        <f t="shared" si="0"/>
        <v>MARTINEZ HIGUERA CARLOS IGNACIO</v>
      </c>
      <c r="C8" t="s">
        <v>26</v>
      </c>
      <c r="D8" t="s">
        <v>12</v>
      </c>
      <c r="E8" t="s">
        <v>25</v>
      </c>
      <c r="F8">
        <v>27</v>
      </c>
      <c r="G8" t="s">
        <v>165</v>
      </c>
      <c r="H8" t="s">
        <v>167</v>
      </c>
      <c r="I8">
        <v>5853</v>
      </c>
      <c r="J8" t="s">
        <v>178</v>
      </c>
    </row>
    <row r="9" spans="1:12" x14ac:dyDescent="0.25">
      <c r="A9">
        <f t="shared" si="1"/>
        <v>1008</v>
      </c>
      <c r="B9" t="str">
        <f t="shared" si="0"/>
        <v>RAMIREZ HERNANDEZ OSCAR EDUARDO</v>
      </c>
      <c r="C9" t="s">
        <v>28</v>
      </c>
      <c r="D9" t="s">
        <v>27</v>
      </c>
      <c r="E9" t="s">
        <v>17</v>
      </c>
      <c r="F9">
        <v>18</v>
      </c>
      <c r="G9" t="s">
        <v>165</v>
      </c>
      <c r="H9" t="s">
        <v>169</v>
      </c>
      <c r="I9">
        <v>4117</v>
      </c>
      <c r="J9" t="s">
        <v>179</v>
      </c>
    </row>
    <row r="10" spans="1:12" x14ac:dyDescent="0.25">
      <c r="A10">
        <f t="shared" si="1"/>
        <v>1009</v>
      </c>
      <c r="B10" t="str">
        <f t="shared" si="0"/>
        <v>SANDOVAL MARISCAL LUIS HUMBERTO</v>
      </c>
      <c r="C10" t="s">
        <v>31</v>
      </c>
      <c r="D10" t="s">
        <v>29</v>
      </c>
      <c r="E10" t="s">
        <v>30</v>
      </c>
      <c r="F10">
        <v>33</v>
      </c>
      <c r="G10" t="s">
        <v>164</v>
      </c>
      <c r="H10" t="s">
        <v>168</v>
      </c>
      <c r="I10">
        <v>4425</v>
      </c>
      <c r="J10" t="s">
        <v>177</v>
      </c>
    </row>
    <row r="11" spans="1:12" x14ac:dyDescent="0.25">
      <c r="A11">
        <f t="shared" si="1"/>
        <v>1010</v>
      </c>
      <c r="B11" t="str">
        <f t="shared" si="0"/>
        <v>RODRIGUEZ BALLESCA MARIANA</v>
      </c>
      <c r="C11" t="s">
        <v>34</v>
      </c>
      <c r="D11" t="s">
        <v>32</v>
      </c>
      <c r="E11" t="s">
        <v>33</v>
      </c>
      <c r="F11">
        <v>26</v>
      </c>
      <c r="G11" t="s">
        <v>162</v>
      </c>
      <c r="H11" t="s">
        <v>170</v>
      </c>
      <c r="I11">
        <v>1240</v>
      </c>
      <c r="J11" t="s">
        <v>180</v>
      </c>
    </row>
    <row r="12" spans="1:12" x14ac:dyDescent="0.25">
      <c r="A12">
        <f t="shared" si="1"/>
        <v>1011</v>
      </c>
      <c r="B12" t="str">
        <f t="shared" si="0"/>
        <v>CONTRERAS RIOS SANTIAGO</v>
      </c>
      <c r="C12" t="s">
        <v>37</v>
      </c>
      <c r="D12" t="s">
        <v>35</v>
      </c>
      <c r="E12" t="s">
        <v>36</v>
      </c>
      <c r="F12">
        <v>19</v>
      </c>
      <c r="G12" t="s">
        <v>165</v>
      </c>
      <c r="H12" t="s">
        <v>167</v>
      </c>
      <c r="I12">
        <v>7265</v>
      </c>
      <c r="J12" t="s">
        <v>181</v>
      </c>
    </row>
    <row r="13" spans="1:12" x14ac:dyDescent="0.25">
      <c r="A13">
        <f t="shared" si="1"/>
        <v>1012</v>
      </c>
      <c r="B13" t="str">
        <f t="shared" si="0"/>
        <v>GUZMAN RIVERA ANGEL MARTIN</v>
      </c>
      <c r="C13" t="s">
        <v>39</v>
      </c>
      <c r="D13" t="s">
        <v>10</v>
      </c>
      <c r="E13" t="s">
        <v>38</v>
      </c>
      <c r="F13">
        <v>29</v>
      </c>
      <c r="G13" t="s">
        <v>164</v>
      </c>
      <c r="H13" t="s">
        <v>168</v>
      </c>
      <c r="I13">
        <v>9661</v>
      </c>
      <c r="J13" t="s">
        <v>176</v>
      </c>
    </row>
    <row r="14" spans="1:12" x14ac:dyDescent="0.25">
      <c r="A14">
        <f t="shared" si="1"/>
        <v>1013</v>
      </c>
      <c r="B14" t="str">
        <f t="shared" si="0"/>
        <v>IBARRA CASTELLANOS CESAR DAMIAN</v>
      </c>
      <c r="C14" t="s">
        <v>42</v>
      </c>
      <c r="D14" t="s">
        <v>40</v>
      </c>
      <c r="E14" t="s">
        <v>41</v>
      </c>
      <c r="F14">
        <v>29</v>
      </c>
      <c r="G14" t="s">
        <v>165</v>
      </c>
      <c r="H14" t="s">
        <v>169</v>
      </c>
      <c r="I14">
        <v>1738</v>
      </c>
      <c r="J14" t="s">
        <v>182</v>
      </c>
    </row>
    <row r="15" spans="1:12" x14ac:dyDescent="0.25">
      <c r="A15">
        <f t="shared" si="1"/>
        <v>1014</v>
      </c>
      <c r="B15" t="str">
        <f t="shared" si="0"/>
        <v>LOPEZ RODRIGUEZ FLAVIO ARMANDO</v>
      </c>
      <c r="C15" t="s">
        <v>44</v>
      </c>
      <c r="D15" t="s">
        <v>43</v>
      </c>
      <c r="E15" t="s">
        <v>32</v>
      </c>
      <c r="F15">
        <v>25</v>
      </c>
      <c r="G15" t="s">
        <v>165</v>
      </c>
      <c r="H15" t="s">
        <v>167</v>
      </c>
      <c r="I15">
        <v>4611</v>
      </c>
      <c r="J15" t="s">
        <v>183</v>
      </c>
    </row>
    <row r="16" spans="1:12" x14ac:dyDescent="0.25">
      <c r="A16">
        <f t="shared" si="1"/>
        <v>1015</v>
      </c>
      <c r="B16" t="str">
        <f t="shared" si="0"/>
        <v>RENTERIA PORTUGAL VIRGINIA LLOLIZTLY NAIVY</v>
      </c>
      <c r="C16" t="s">
        <v>47</v>
      </c>
      <c r="D16" t="s">
        <v>45</v>
      </c>
      <c r="E16" t="s">
        <v>46</v>
      </c>
      <c r="F16">
        <v>35</v>
      </c>
      <c r="G16" t="s">
        <v>166</v>
      </c>
      <c r="H16" t="s">
        <v>169</v>
      </c>
      <c r="I16">
        <v>1505</v>
      </c>
      <c r="J16" t="s">
        <v>184</v>
      </c>
    </row>
    <row r="17" spans="1:10" x14ac:dyDescent="0.25">
      <c r="A17">
        <f t="shared" si="1"/>
        <v>1016</v>
      </c>
      <c r="B17" t="str">
        <f t="shared" si="0"/>
        <v>RIVERA MORAN ADRIAN OLEGARIO</v>
      </c>
      <c r="C17" t="s">
        <v>49</v>
      </c>
      <c r="D17" t="s">
        <v>38</v>
      </c>
      <c r="E17" t="s">
        <v>48</v>
      </c>
      <c r="F17">
        <v>30</v>
      </c>
      <c r="G17" t="s">
        <v>166</v>
      </c>
      <c r="H17" t="s">
        <v>170</v>
      </c>
      <c r="I17">
        <v>1762</v>
      </c>
      <c r="J17" t="s">
        <v>185</v>
      </c>
    </row>
    <row r="18" spans="1:10" x14ac:dyDescent="0.25">
      <c r="A18">
        <f t="shared" si="1"/>
        <v>1017</v>
      </c>
      <c r="B18" t="str">
        <f t="shared" si="0"/>
        <v>AGUILAR BAUTISTA ZURISADAI</v>
      </c>
      <c r="C18" t="s">
        <v>52</v>
      </c>
      <c r="D18" t="s">
        <v>50</v>
      </c>
      <c r="E18" t="s">
        <v>51</v>
      </c>
      <c r="F18">
        <v>26</v>
      </c>
      <c r="G18" t="s">
        <v>166</v>
      </c>
      <c r="H18" t="s">
        <v>170</v>
      </c>
      <c r="I18">
        <v>4889</v>
      </c>
      <c r="J18" t="s">
        <v>177</v>
      </c>
    </row>
    <row r="19" spans="1:10" x14ac:dyDescent="0.25">
      <c r="A19">
        <f t="shared" si="1"/>
        <v>1018</v>
      </c>
      <c r="B19" t="str">
        <f t="shared" si="0"/>
        <v>ALEMAN GARCIA ERICK ALEJANDRO</v>
      </c>
      <c r="C19" t="s">
        <v>54</v>
      </c>
      <c r="D19" t="s">
        <v>53</v>
      </c>
      <c r="E19" t="s">
        <v>15</v>
      </c>
      <c r="F19">
        <v>18</v>
      </c>
      <c r="G19" t="s">
        <v>162</v>
      </c>
      <c r="H19" t="s">
        <v>170</v>
      </c>
      <c r="I19">
        <v>5208</v>
      </c>
      <c r="J19" t="s">
        <v>173</v>
      </c>
    </row>
    <row r="20" spans="1:10" x14ac:dyDescent="0.25">
      <c r="A20">
        <f t="shared" si="1"/>
        <v>1019</v>
      </c>
      <c r="B20" t="str">
        <f t="shared" si="0"/>
        <v>ALONSO CAMACHO DAVID</v>
      </c>
      <c r="C20" t="s">
        <v>57</v>
      </c>
      <c r="D20" t="s">
        <v>55</v>
      </c>
      <c r="E20" t="s">
        <v>56</v>
      </c>
      <c r="F20">
        <v>18</v>
      </c>
      <c r="G20" t="s">
        <v>164</v>
      </c>
      <c r="H20" t="s">
        <v>168</v>
      </c>
      <c r="I20">
        <v>6645</v>
      </c>
      <c r="J20" t="s">
        <v>174</v>
      </c>
    </row>
    <row r="21" spans="1:10" x14ac:dyDescent="0.25">
      <c r="A21">
        <f t="shared" si="1"/>
        <v>1020</v>
      </c>
      <c r="B21" t="str">
        <f t="shared" si="0"/>
        <v>ALVAREZ RAMIREZ JORGE OMAR</v>
      </c>
      <c r="C21" t="s">
        <v>59</v>
      </c>
      <c r="D21" t="s">
        <v>58</v>
      </c>
      <c r="E21" t="s">
        <v>27</v>
      </c>
      <c r="F21">
        <v>31</v>
      </c>
      <c r="G21" t="s">
        <v>165</v>
      </c>
      <c r="H21" t="s">
        <v>171</v>
      </c>
      <c r="I21">
        <v>2841</v>
      </c>
      <c r="J21" t="s">
        <v>186</v>
      </c>
    </row>
    <row r="22" spans="1:10" x14ac:dyDescent="0.25">
      <c r="A22">
        <f t="shared" si="1"/>
        <v>1021</v>
      </c>
      <c r="B22" t="str">
        <f t="shared" si="0"/>
        <v>ANTONIO PEREZ NADIA SUSANA</v>
      </c>
      <c r="C22" t="s">
        <v>62</v>
      </c>
      <c r="D22" t="s">
        <v>60</v>
      </c>
      <c r="E22" t="s">
        <v>61</v>
      </c>
      <c r="F22">
        <v>23</v>
      </c>
      <c r="G22" t="s">
        <v>165</v>
      </c>
      <c r="H22" t="s">
        <v>169</v>
      </c>
      <c r="I22">
        <v>1638</v>
      </c>
      <c r="J22" t="s">
        <v>178</v>
      </c>
    </row>
    <row r="23" spans="1:10" x14ac:dyDescent="0.25">
      <c r="A23">
        <f t="shared" si="1"/>
        <v>1022</v>
      </c>
      <c r="B23" t="str">
        <f t="shared" si="0"/>
        <v>ARIAS VAZQUEZ MARIA PAULINA</v>
      </c>
      <c r="C23" t="s">
        <v>65</v>
      </c>
      <c r="D23" t="s">
        <v>63</v>
      </c>
      <c r="E23" t="s">
        <v>64</v>
      </c>
      <c r="F23">
        <v>29</v>
      </c>
      <c r="G23" t="s">
        <v>166</v>
      </c>
      <c r="H23" t="s">
        <v>168</v>
      </c>
      <c r="I23">
        <v>3130</v>
      </c>
      <c r="J23" t="s">
        <v>174</v>
      </c>
    </row>
    <row r="24" spans="1:10" x14ac:dyDescent="0.25">
      <c r="A24">
        <f t="shared" si="1"/>
        <v>1023</v>
      </c>
      <c r="B24" t="str">
        <f t="shared" si="0"/>
        <v>BARCENA ARAIZA AM-MISAD-DAI</v>
      </c>
      <c r="C24" t="s">
        <v>161</v>
      </c>
      <c r="D24" t="s">
        <v>66</v>
      </c>
      <c r="E24" t="s">
        <v>67</v>
      </c>
      <c r="F24">
        <v>19</v>
      </c>
      <c r="G24" t="s">
        <v>166</v>
      </c>
      <c r="H24" t="s">
        <v>171</v>
      </c>
      <c r="I24">
        <v>3913</v>
      </c>
      <c r="J24" t="s">
        <v>174</v>
      </c>
    </row>
    <row r="25" spans="1:10" x14ac:dyDescent="0.25">
      <c r="A25">
        <f t="shared" si="1"/>
        <v>1024</v>
      </c>
      <c r="B25" t="str">
        <f t="shared" si="0"/>
        <v>CAMACHO ZUÑIGA LUIS ROBERTO</v>
      </c>
      <c r="C25" t="s">
        <v>69</v>
      </c>
      <c r="D25" t="s">
        <v>56</v>
      </c>
      <c r="E25" t="s">
        <v>68</v>
      </c>
      <c r="F25">
        <v>21</v>
      </c>
      <c r="G25" t="s">
        <v>163</v>
      </c>
      <c r="H25" t="s">
        <v>170</v>
      </c>
      <c r="I25">
        <v>6730</v>
      </c>
      <c r="J25" t="s">
        <v>185</v>
      </c>
    </row>
    <row r="26" spans="1:10" x14ac:dyDescent="0.25">
      <c r="A26">
        <f t="shared" si="1"/>
        <v>1025</v>
      </c>
      <c r="B26" t="str">
        <f t="shared" si="0"/>
        <v>CHINAS JIMENEZ JUANA ISABEL</v>
      </c>
      <c r="C26" t="s">
        <v>72</v>
      </c>
      <c r="D26" t="s">
        <v>70</v>
      </c>
      <c r="E26" t="s">
        <v>71</v>
      </c>
      <c r="F26">
        <v>18</v>
      </c>
      <c r="G26" t="s">
        <v>162</v>
      </c>
      <c r="H26" t="s">
        <v>170</v>
      </c>
      <c r="I26">
        <v>4336</v>
      </c>
      <c r="J26" t="s">
        <v>175</v>
      </c>
    </row>
    <row r="27" spans="1:10" x14ac:dyDescent="0.25">
      <c r="A27">
        <f t="shared" si="1"/>
        <v>1026</v>
      </c>
      <c r="B27" t="str">
        <f t="shared" si="0"/>
        <v>GALINDO HERRERA OMAR ARTURO</v>
      </c>
      <c r="C27" t="s">
        <v>75</v>
      </c>
      <c r="D27" t="s">
        <v>73</v>
      </c>
      <c r="E27" t="s">
        <v>74</v>
      </c>
      <c r="F27">
        <v>30</v>
      </c>
      <c r="G27" t="s">
        <v>165</v>
      </c>
      <c r="H27" t="s">
        <v>167</v>
      </c>
      <c r="I27">
        <v>9252</v>
      </c>
      <c r="J27" t="s">
        <v>182</v>
      </c>
    </row>
    <row r="28" spans="1:10" x14ac:dyDescent="0.25">
      <c r="A28">
        <f t="shared" si="1"/>
        <v>1027</v>
      </c>
      <c r="B28" t="str">
        <f t="shared" si="0"/>
        <v>GARCIA AVILA JOSE ANTONIO</v>
      </c>
      <c r="C28" t="s">
        <v>77</v>
      </c>
      <c r="D28" t="s">
        <v>15</v>
      </c>
      <c r="E28" t="s">
        <v>76</v>
      </c>
      <c r="F28">
        <v>28</v>
      </c>
      <c r="G28" t="s">
        <v>166</v>
      </c>
      <c r="H28" t="s">
        <v>171</v>
      </c>
      <c r="I28">
        <v>252</v>
      </c>
      <c r="J28" t="s">
        <v>184</v>
      </c>
    </row>
    <row r="29" spans="1:10" x14ac:dyDescent="0.25">
      <c r="A29">
        <f t="shared" si="1"/>
        <v>1028</v>
      </c>
      <c r="B29" t="str">
        <f t="shared" si="0"/>
        <v>GARCIA OLIDEN NORMA ATHENEA</v>
      </c>
      <c r="C29" t="s">
        <v>79</v>
      </c>
      <c r="D29" t="s">
        <v>15</v>
      </c>
      <c r="E29" t="s">
        <v>78</v>
      </c>
      <c r="F29">
        <v>21</v>
      </c>
      <c r="G29" t="s">
        <v>164</v>
      </c>
      <c r="H29" t="s">
        <v>169</v>
      </c>
      <c r="I29">
        <v>913</v>
      </c>
      <c r="J29" t="s">
        <v>174</v>
      </c>
    </row>
    <row r="30" spans="1:10" x14ac:dyDescent="0.25">
      <c r="A30">
        <f t="shared" si="1"/>
        <v>1029</v>
      </c>
      <c r="B30" t="str">
        <f t="shared" si="0"/>
        <v>GOMEZ GALINDO ROBERTO ASAEL</v>
      </c>
      <c r="C30" t="s">
        <v>81</v>
      </c>
      <c r="D30" t="s">
        <v>80</v>
      </c>
      <c r="E30" t="s">
        <v>73</v>
      </c>
      <c r="F30">
        <v>25</v>
      </c>
      <c r="G30" t="s">
        <v>163</v>
      </c>
      <c r="H30" t="s">
        <v>167</v>
      </c>
      <c r="I30">
        <v>4912</v>
      </c>
      <c r="J30" t="s">
        <v>175</v>
      </c>
    </row>
    <row r="31" spans="1:10" x14ac:dyDescent="0.25">
      <c r="A31">
        <f t="shared" si="1"/>
        <v>1030</v>
      </c>
      <c r="B31" t="str">
        <f t="shared" si="0"/>
        <v>GOMEZ MALDONADO SERGIO RAMON</v>
      </c>
      <c r="C31" t="s">
        <v>83</v>
      </c>
      <c r="D31" t="s">
        <v>80</v>
      </c>
      <c r="E31" t="s">
        <v>82</v>
      </c>
      <c r="F31">
        <v>25</v>
      </c>
      <c r="G31" t="s">
        <v>162</v>
      </c>
      <c r="H31" t="s">
        <v>170</v>
      </c>
      <c r="I31">
        <v>6991</v>
      </c>
      <c r="J31" t="s">
        <v>184</v>
      </c>
    </row>
    <row r="32" spans="1:10" x14ac:dyDescent="0.25">
      <c r="A32">
        <f t="shared" si="1"/>
        <v>1031</v>
      </c>
      <c r="B32" t="str">
        <f t="shared" si="0"/>
        <v>HERNANDEZ DAVID OLCY JANETH</v>
      </c>
      <c r="C32" t="s">
        <v>84</v>
      </c>
      <c r="D32" t="s">
        <v>17</v>
      </c>
      <c r="E32" t="s">
        <v>57</v>
      </c>
      <c r="F32">
        <v>35</v>
      </c>
      <c r="G32" t="s">
        <v>164</v>
      </c>
      <c r="H32" t="s">
        <v>168</v>
      </c>
      <c r="I32">
        <v>3880</v>
      </c>
      <c r="J32" t="s">
        <v>179</v>
      </c>
    </row>
    <row r="33" spans="1:10" x14ac:dyDescent="0.25">
      <c r="A33">
        <f t="shared" si="1"/>
        <v>1032</v>
      </c>
      <c r="B33" t="str">
        <f t="shared" si="0"/>
        <v>HERNANDEZ DE SANTIAGO JESSICA ELIZABETH</v>
      </c>
      <c r="C33" t="s">
        <v>86</v>
      </c>
      <c r="D33" t="s">
        <v>17</v>
      </c>
      <c r="E33" t="s">
        <v>85</v>
      </c>
      <c r="F33">
        <v>30</v>
      </c>
      <c r="G33" t="s">
        <v>163</v>
      </c>
      <c r="H33" t="s">
        <v>170</v>
      </c>
      <c r="I33">
        <v>6243</v>
      </c>
      <c r="J33" t="s">
        <v>178</v>
      </c>
    </row>
    <row r="34" spans="1:10" x14ac:dyDescent="0.25">
      <c r="A34">
        <f t="shared" si="1"/>
        <v>1033</v>
      </c>
      <c r="B34" t="str">
        <f t="shared" ref="B34:B65" si="2">D34&amp;" "&amp;E34&amp;" "&amp;C34</f>
        <v>HERNANDEZ PEREZ LAURA KARINA</v>
      </c>
      <c r="C34" t="s">
        <v>87</v>
      </c>
      <c r="D34" t="s">
        <v>17</v>
      </c>
      <c r="E34" t="s">
        <v>61</v>
      </c>
      <c r="F34">
        <v>33</v>
      </c>
      <c r="G34" t="s">
        <v>163</v>
      </c>
      <c r="H34" t="s">
        <v>171</v>
      </c>
      <c r="I34">
        <v>4221</v>
      </c>
      <c r="J34" t="s">
        <v>177</v>
      </c>
    </row>
    <row r="35" spans="1:10" x14ac:dyDescent="0.25">
      <c r="A35">
        <f t="shared" ref="A35:A66" si="3">+A34+1</f>
        <v>1034</v>
      </c>
      <c r="B35" t="str">
        <f t="shared" si="2"/>
        <v>HERRERA ARRIAGA HUGO RENE</v>
      </c>
      <c r="C35" t="s">
        <v>89</v>
      </c>
      <c r="D35" t="s">
        <v>74</v>
      </c>
      <c r="E35" t="s">
        <v>88</v>
      </c>
      <c r="F35">
        <v>33</v>
      </c>
      <c r="G35" t="s">
        <v>165</v>
      </c>
      <c r="H35" t="s">
        <v>168</v>
      </c>
      <c r="I35">
        <v>1743</v>
      </c>
      <c r="J35" t="s">
        <v>183</v>
      </c>
    </row>
    <row r="36" spans="1:10" x14ac:dyDescent="0.25">
      <c r="A36">
        <f t="shared" si="3"/>
        <v>1035</v>
      </c>
      <c r="B36" t="str">
        <f t="shared" si="2"/>
        <v>IBARRA CASTRO NORMA ALEJANDRA</v>
      </c>
      <c r="C36" t="s">
        <v>91</v>
      </c>
      <c r="D36" t="s">
        <v>40</v>
      </c>
      <c r="E36" t="s">
        <v>90</v>
      </c>
      <c r="F36">
        <v>33</v>
      </c>
      <c r="G36" t="s">
        <v>164</v>
      </c>
      <c r="H36" t="s">
        <v>168</v>
      </c>
      <c r="I36">
        <v>3658</v>
      </c>
      <c r="J36" t="s">
        <v>177</v>
      </c>
    </row>
    <row r="37" spans="1:10" x14ac:dyDescent="0.25">
      <c r="A37">
        <f t="shared" si="3"/>
        <v>1036</v>
      </c>
      <c r="B37" t="str">
        <f t="shared" si="2"/>
        <v>LEDESMA DE LA TORRE KAREM JHOANA</v>
      </c>
      <c r="C37" t="s">
        <v>94</v>
      </c>
      <c r="D37" t="s">
        <v>92</v>
      </c>
      <c r="E37" t="s">
        <v>93</v>
      </c>
      <c r="F37">
        <v>21</v>
      </c>
      <c r="G37" t="s">
        <v>166</v>
      </c>
      <c r="H37" t="s">
        <v>168</v>
      </c>
      <c r="I37">
        <v>7974</v>
      </c>
      <c r="J37" t="s">
        <v>176</v>
      </c>
    </row>
    <row r="38" spans="1:10" x14ac:dyDescent="0.25">
      <c r="A38">
        <f t="shared" si="3"/>
        <v>1037</v>
      </c>
      <c r="B38" t="str">
        <f t="shared" si="2"/>
        <v>LOPEZ RODRIGUEZ JUAN ANTONIO</v>
      </c>
      <c r="C38" t="s">
        <v>95</v>
      </c>
      <c r="D38" t="s">
        <v>43</v>
      </c>
      <c r="E38" t="s">
        <v>32</v>
      </c>
      <c r="F38">
        <v>27</v>
      </c>
      <c r="G38" t="s">
        <v>166</v>
      </c>
      <c r="H38" t="s">
        <v>168</v>
      </c>
      <c r="I38">
        <v>8256</v>
      </c>
      <c r="J38" t="s">
        <v>181</v>
      </c>
    </row>
    <row r="39" spans="1:10" x14ac:dyDescent="0.25">
      <c r="A39">
        <f t="shared" si="3"/>
        <v>1038</v>
      </c>
      <c r="B39" t="str">
        <f t="shared" si="2"/>
        <v>MANZO TORRES BRYAN EDUARDO</v>
      </c>
      <c r="C39" t="s">
        <v>98</v>
      </c>
      <c r="D39" t="s">
        <v>96</v>
      </c>
      <c r="E39" t="s">
        <v>97</v>
      </c>
      <c r="F39">
        <v>27</v>
      </c>
      <c r="G39" t="s">
        <v>165</v>
      </c>
      <c r="H39" t="s">
        <v>167</v>
      </c>
      <c r="I39">
        <v>5525</v>
      </c>
      <c r="J39" t="s">
        <v>185</v>
      </c>
    </row>
    <row r="40" spans="1:10" x14ac:dyDescent="0.25">
      <c r="A40">
        <f t="shared" si="3"/>
        <v>1039</v>
      </c>
      <c r="B40" t="str">
        <f t="shared" si="2"/>
        <v>MEDINA CISNEROS JUAN LESTER</v>
      </c>
      <c r="C40" t="s">
        <v>100</v>
      </c>
      <c r="D40" t="s">
        <v>23</v>
      </c>
      <c r="E40" t="s">
        <v>99</v>
      </c>
      <c r="F40">
        <v>25</v>
      </c>
      <c r="G40" t="s">
        <v>166</v>
      </c>
      <c r="H40" t="s">
        <v>171</v>
      </c>
      <c r="I40">
        <v>5125</v>
      </c>
      <c r="J40" t="s">
        <v>183</v>
      </c>
    </row>
    <row r="41" spans="1:10" x14ac:dyDescent="0.25">
      <c r="A41">
        <f t="shared" si="3"/>
        <v>1040</v>
      </c>
      <c r="B41" t="str">
        <f t="shared" si="2"/>
        <v>MEDINA GUTIERREZ ZAIRA GUADALUPE</v>
      </c>
      <c r="C41" t="s">
        <v>102</v>
      </c>
      <c r="D41" t="s">
        <v>23</v>
      </c>
      <c r="E41" t="s">
        <v>101</v>
      </c>
      <c r="F41">
        <v>32</v>
      </c>
      <c r="G41" t="s">
        <v>164</v>
      </c>
      <c r="H41" t="s">
        <v>169</v>
      </c>
      <c r="I41">
        <v>3307</v>
      </c>
      <c r="J41" t="s">
        <v>173</v>
      </c>
    </row>
    <row r="42" spans="1:10" x14ac:dyDescent="0.25">
      <c r="A42">
        <f t="shared" si="3"/>
        <v>1041</v>
      </c>
      <c r="B42" t="str">
        <f t="shared" si="2"/>
        <v>MONJARAZ DIAZ CARLOS ENRIQUE</v>
      </c>
      <c r="C42" t="s">
        <v>105</v>
      </c>
      <c r="D42" t="s">
        <v>103</v>
      </c>
      <c r="E42" t="s">
        <v>104</v>
      </c>
      <c r="F42">
        <v>25</v>
      </c>
      <c r="G42" t="s">
        <v>162</v>
      </c>
      <c r="H42" t="s">
        <v>168</v>
      </c>
      <c r="I42">
        <v>4686</v>
      </c>
      <c r="J42" t="s">
        <v>181</v>
      </c>
    </row>
    <row r="43" spans="1:10" x14ac:dyDescent="0.25">
      <c r="A43">
        <f t="shared" si="3"/>
        <v>1042</v>
      </c>
      <c r="B43" t="str">
        <f t="shared" si="2"/>
        <v>MORALES AMEZCUA JOSE SABINO</v>
      </c>
      <c r="C43" t="s">
        <v>108</v>
      </c>
      <c r="D43" t="s">
        <v>106</v>
      </c>
      <c r="E43" t="s">
        <v>107</v>
      </c>
      <c r="F43">
        <v>27</v>
      </c>
      <c r="G43" t="s">
        <v>163</v>
      </c>
      <c r="H43" t="s">
        <v>167</v>
      </c>
      <c r="I43">
        <v>3938</v>
      </c>
      <c r="J43" t="s">
        <v>173</v>
      </c>
    </row>
    <row r="44" spans="1:10" x14ac:dyDescent="0.25">
      <c r="A44">
        <f t="shared" si="3"/>
        <v>1043</v>
      </c>
      <c r="B44" t="str">
        <f t="shared" si="2"/>
        <v>OCHOA MANZO ALEJANDRO DE JESUS</v>
      </c>
      <c r="C44" t="s">
        <v>110</v>
      </c>
      <c r="D44" t="s">
        <v>109</v>
      </c>
      <c r="E44" t="s">
        <v>96</v>
      </c>
      <c r="F44">
        <v>35</v>
      </c>
      <c r="G44" t="s">
        <v>162</v>
      </c>
      <c r="H44" t="s">
        <v>171</v>
      </c>
      <c r="I44">
        <v>2576</v>
      </c>
      <c r="J44" t="s">
        <v>187</v>
      </c>
    </row>
    <row r="45" spans="1:10" x14ac:dyDescent="0.25">
      <c r="A45">
        <f t="shared" si="3"/>
        <v>1044</v>
      </c>
      <c r="B45" t="str">
        <f t="shared" si="2"/>
        <v>PEREZ ALVAREZ JULIAN</v>
      </c>
      <c r="C45" t="s">
        <v>111</v>
      </c>
      <c r="D45" t="s">
        <v>61</v>
      </c>
      <c r="E45" t="s">
        <v>58</v>
      </c>
      <c r="F45">
        <v>25</v>
      </c>
      <c r="G45" t="s">
        <v>162</v>
      </c>
      <c r="H45" t="s">
        <v>170</v>
      </c>
      <c r="I45">
        <v>5489</v>
      </c>
      <c r="J45" t="s">
        <v>173</v>
      </c>
    </row>
    <row r="46" spans="1:10" x14ac:dyDescent="0.25">
      <c r="A46">
        <f t="shared" si="3"/>
        <v>1045</v>
      </c>
      <c r="B46" t="str">
        <f t="shared" si="2"/>
        <v>PEREZ RAMIREZ LAURA ANGELICA</v>
      </c>
      <c r="C46" t="s">
        <v>112</v>
      </c>
      <c r="D46" t="s">
        <v>61</v>
      </c>
      <c r="E46" t="s">
        <v>27</v>
      </c>
      <c r="F46">
        <v>22</v>
      </c>
      <c r="G46" t="s">
        <v>166</v>
      </c>
      <c r="H46" t="s">
        <v>168</v>
      </c>
      <c r="I46">
        <v>2845</v>
      </c>
      <c r="J46" t="s">
        <v>181</v>
      </c>
    </row>
    <row r="47" spans="1:10" x14ac:dyDescent="0.25">
      <c r="A47">
        <f t="shared" si="3"/>
        <v>1046</v>
      </c>
      <c r="B47" t="str">
        <f t="shared" si="2"/>
        <v>PEREZ RAMIREZ MARLEN PAOLA</v>
      </c>
      <c r="C47" t="s">
        <v>113</v>
      </c>
      <c r="D47" t="s">
        <v>61</v>
      </c>
      <c r="E47" t="s">
        <v>27</v>
      </c>
      <c r="F47">
        <v>19</v>
      </c>
      <c r="G47" t="s">
        <v>163</v>
      </c>
      <c r="H47" t="s">
        <v>171</v>
      </c>
      <c r="I47">
        <v>7991</v>
      </c>
      <c r="J47" t="s">
        <v>180</v>
      </c>
    </row>
    <row r="48" spans="1:10" x14ac:dyDescent="0.25">
      <c r="A48">
        <f t="shared" si="3"/>
        <v>1047</v>
      </c>
      <c r="B48" t="str">
        <f t="shared" si="2"/>
        <v>RAMIREZ RUIZ SERGIO ALONSO</v>
      </c>
      <c r="C48" t="s">
        <v>115</v>
      </c>
      <c r="D48" t="s">
        <v>27</v>
      </c>
      <c r="E48" t="s">
        <v>114</v>
      </c>
      <c r="F48">
        <v>35</v>
      </c>
      <c r="G48" t="s">
        <v>165</v>
      </c>
      <c r="H48" t="s">
        <v>171</v>
      </c>
      <c r="I48">
        <v>444</v>
      </c>
      <c r="J48" t="s">
        <v>175</v>
      </c>
    </row>
    <row r="49" spans="1:10" x14ac:dyDescent="0.25">
      <c r="A49">
        <f t="shared" si="3"/>
        <v>1048</v>
      </c>
      <c r="B49" t="str">
        <f t="shared" si="2"/>
        <v>SANCHEZ GOMEZ LUIS RICARDO</v>
      </c>
      <c r="C49" t="s">
        <v>117</v>
      </c>
      <c r="D49" t="s">
        <v>116</v>
      </c>
      <c r="E49" t="s">
        <v>80</v>
      </c>
      <c r="F49">
        <v>22</v>
      </c>
      <c r="G49" t="s">
        <v>162</v>
      </c>
      <c r="H49" t="s">
        <v>171</v>
      </c>
      <c r="I49">
        <v>3369</v>
      </c>
      <c r="J49" t="s">
        <v>178</v>
      </c>
    </row>
    <row r="50" spans="1:10" x14ac:dyDescent="0.25">
      <c r="A50">
        <f t="shared" si="3"/>
        <v>1049</v>
      </c>
      <c r="B50" t="str">
        <f t="shared" si="2"/>
        <v>SEGOVIANO RUBIO MONICA ALEJANDRA</v>
      </c>
      <c r="C50" t="s">
        <v>120</v>
      </c>
      <c r="D50" t="s">
        <v>118</v>
      </c>
      <c r="E50" t="s">
        <v>119</v>
      </c>
      <c r="F50">
        <v>33</v>
      </c>
      <c r="G50" t="s">
        <v>164</v>
      </c>
      <c r="H50" t="s">
        <v>169</v>
      </c>
      <c r="I50">
        <v>1946</v>
      </c>
      <c r="J50" t="s">
        <v>182</v>
      </c>
    </row>
    <row r="51" spans="1:10" x14ac:dyDescent="0.25">
      <c r="A51">
        <f t="shared" si="3"/>
        <v>1050</v>
      </c>
      <c r="B51" t="str">
        <f t="shared" si="2"/>
        <v>SEGOVIANO RUBIO ZURY NEREIDA</v>
      </c>
      <c r="C51" t="s">
        <v>121</v>
      </c>
      <c r="D51" t="s">
        <v>118</v>
      </c>
      <c r="E51" t="s">
        <v>119</v>
      </c>
      <c r="F51">
        <v>29</v>
      </c>
      <c r="G51" t="s">
        <v>166</v>
      </c>
      <c r="H51" t="s">
        <v>168</v>
      </c>
      <c r="I51">
        <v>5323</v>
      </c>
      <c r="J51" t="s">
        <v>183</v>
      </c>
    </row>
    <row r="52" spans="1:10" x14ac:dyDescent="0.25">
      <c r="A52">
        <f t="shared" si="3"/>
        <v>1051</v>
      </c>
      <c r="B52" t="str">
        <f t="shared" si="2"/>
        <v>UREÑA MACIAS MARIANA</v>
      </c>
      <c r="C52" t="s">
        <v>34</v>
      </c>
      <c r="D52" t="s">
        <v>122</v>
      </c>
      <c r="E52" t="s">
        <v>123</v>
      </c>
      <c r="F52">
        <v>28</v>
      </c>
      <c r="G52" t="s">
        <v>166</v>
      </c>
      <c r="H52" t="s">
        <v>170</v>
      </c>
      <c r="I52">
        <v>5033</v>
      </c>
      <c r="J52" t="s">
        <v>174</v>
      </c>
    </row>
    <row r="53" spans="1:10" x14ac:dyDescent="0.25">
      <c r="A53">
        <f t="shared" si="3"/>
        <v>1052</v>
      </c>
      <c r="B53" t="str">
        <f t="shared" si="2"/>
        <v>ADAME POZAS GABRIELA</v>
      </c>
      <c r="C53" t="s">
        <v>126</v>
      </c>
      <c r="D53" t="s">
        <v>124</v>
      </c>
      <c r="E53" t="s">
        <v>125</v>
      </c>
      <c r="F53">
        <v>34</v>
      </c>
      <c r="G53" t="s">
        <v>166</v>
      </c>
      <c r="H53" t="s">
        <v>167</v>
      </c>
      <c r="I53">
        <v>9771</v>
      </c>
      <c r="J53" t="s">
        <v>182</v>
      </c>
    </row>
    <row r="54" spans="1:10" x14ac:dyDescent="0.25">
      <c r="A54">
        <f t="shared" si="3"/>
        <v>1053</v>
      </c>
      <c r="B54" t="str">
        <f t="shared" si="2"/>
        <v>ALVAREZ VILLALPANDO DAVID</v>
      </c>
      <c r="C54" t="s">
        <v>57</v>
      </c>
      <c r="D54" t="s">
        <v>58</v>
      </c>
      <c r="E54" t="s">
        <v>127</v>
      </c>
      <c r="F54">
        <v>25</v>
      </c>
      <c r="G54" t="s">
        <v>164</v>
      </c>
      <c r="H54" t="s">
        <v>168</v>
      </c>
      <c r="I54">
        <v>2642</v>
      </c>
      <c r="J54" t="s">
        <v>179</v>
      </c>
    </row>
    <row r="55" spans="1:10" x14ac:dyDescent="0.25">
      <c r="A55">
        <f t="shared" si="3"/>
        <v>1054</v>
      </c>
      <c r="B55" t="str">
        <f t="shared" si="2"/>
        <v>AVILES ANDRADE RUBENS RICARDO</v>
      </c>
      <c r="C55" t="s">
        <v>130</v>
      </c>
      <c r="D55" t="s">
        <v>128</v>
      </c>
      <c r="E55" t="s">
        <v>129</v>
      </c>
      <c r="F55">
        <v>35</v>
      </c>
      <c r="G55" t="s">
        <v>162</v>
      </c>
      <c r="H55" t="s">
        <v>171</v>
      </c>
      <c r="I55">
        <v>8604</v>
      </c>
      <c r="J55" t="s">
        <v>179</v>
      </c>
    </row>
    <row r="56" spans="1:10" x14ac:dyDescent="0.25">
      <c r="A56">
        <f t="shared" si="3"/>
        <v>1055</v>
      </c>
      <c r="B56" t="str">
        <f t="shared" si="2"/>
        <v>BATISTA SANCHEZ ROSA ALEJANDRA</v>
      </c>
      <c r="C56" t="s">
        <v>132</v>
      </c>
      <c r="D56" t="s">
        <v>131</v>
      </c>
      <c r="E56" t="s">
        <v>116</v>
      </c>
      <c r="F56">
        <v>24</v>
      </c>
      <c r="G56" t="s">
        <v>163</v>
      </c>
      <c r="H56" t="s">
        <v>171</v>
      </c>
      <c r="I56">
        <v>3054</v>
      </c>
      <c r="J56" t="s">
        <v>181</v>
      </c>
    </row>
    <row r="57" spans="1:10" x14ac:dyDescent="0.25">
      <c r="A57">
        <f t="shared" si="3"/>
        <v>1056</v>
      </c>
      <c r="B57" t="str">
        <f t="shared" si="2"/>
        <v>CAMPOS GUIDO LUZ ISELA</v>
      </c>
      <c r="C57" t="s">
        <v>135</v>
      </c>
      <c r="D57" t="s">
        <v>133</v>
      </c>
      <c r="E57" t="s">
        <v>134</v>
      </c>
      <c r="F57">
        <v>21</v>
      </c>
      <c r="G57" t="s">
        <v>162</v>
      </c>
      <c r="H57" t="s">
        <v>170</v>
      </c>
      <c r="I57">
        <v>9824</v>
      </c>
      <c r="J57" t="s">
        <v>183</v>
      </c>
    </row>
    <row r="58" spans="1:10" x14ac:dyDescent="0.25">
      <c r="A58">
        <f t="shared" si="3"/>
        <v>1057</v>
      </c>
      <c r="B58" t="str">
        <f t="shared" si="2"/>
        <v>CRUZ ROSAS FERNANDO ISAAC</v>
      </c>
      <c r="C58" t="s">
        <v>138</v>
      </c>
      <c r="D58" t="s">
        <v>136</v>
      </c>
      <c r="E58" t="s">
        <v>137</v>
      </c>
      <c r="F58">
        <v>24</v>
      </c>
      <c r="G58" t="s">
        <v>163</v>
      </c>
      <c r="H58" t="s">
        <v>167</v>
      </c>
      <c r="I58">
        <v>2130</v>
      </c>
      <c r="J58" t="s">
        <v>186</v>
      </c>
    </row>
    <row r="59" spans="1:10" x14ac:dyDescent="0.25">
      <c r="A59">
        <f t="shared" si="3"/>
        <v>1058</v>
      </c>
      <c r="B59" t="str">
        <f t="shared" si="2"/>
        <v>DIAZ CRUZ OSCAR EDUARDO</v>
      </c>
      <c r="C59" t="s">
        <v>28</v>
      </c>
      <c r="D59" t="s">
        <v>104</v>
      </c>
      <c r="E59" t="s">
        <v>136</v>
      </c>
      <c r="F59">
        <v>27</v>
      </c>
      <c r="G59" t="s">
        <v>162</v>
      </c>
      <c r="H59" t="s">
        <v>168</v>
      </c>
      <c r="I59">
        <v>869</v>
      </c>
      <c r="J59" t="s">
        <v>185</v>
      </c>
    </row>
    <row r="60" spans="1:10" x14ac:dyDescent="0.25">
      <c r="A60">
        <f t="shared" si="3"/>
        <v>1059</v>
      </c>
      <c r="B60" t="str">
        <f t="shared" si="2"/>
        <v>ESTRADA BALLESTEROS MIGUEL ANGEL</v>
      </c>
      <c r="C60" t="s">
        <v>141</v>
      </c>
      <c r="D60" t="s">
        <v>139</v>
      </c>
      <c r="E60" t="s">
        <v>140</v>
      </c>
      <c r="F60">
        <v>19</v>
      </c>
      <c r="G60" t="s">
        <v>163</v>
      </c>
      <c r="H60" t="s">
        <v>169</v>
      </c>
      <c r="I60">
        <v>3240</v>
      </c>
      <c r="J60" t="s">
        <v>174</v>
      </c>
    </row>
    <row r="61" spans="1:10" x14ac:dyDescent="0.25">
      <c r="A61">
        <f t="shared" si="3"/>
        <v>1060</v>
      </c>
      <c r="B61" t="str">
        <f t="shared" si="2"/>
        <v>FLORES ALVAREZ JOSE ENRIQUE</v>
      </c>
      <c r="C61" t="s">
        <v>143</v>
      </c>
      <c r="D61" t="s">
        <v>142</v>
      </c>
      <c r="E61" t="s">
        <v>58</v>
      </c>
      <c r="F61">
        <v>24</v>
      </c>
      <c r="G61" t="s">
        <v>162</v>
      </c>
      <c r="H61" t="s">
        <v>170</v>
      </c>
      <c r="I61">
        <v>4853</v>
      </c>
      <c r="J61" t="s">
        <v>176</v>
      </c>
    </row>
    <row r="62" spans="1:10" x14ac:dyDescent="0.25">
      <c r="A62">
        <f t="shared" si="3"/>
        <v>1061</v>
      </c>
      <c r="B62" t="str">
        <f t="shared" si="2"/>
        <v>GONZALEZ VILLEGAS NORMA ELIZABETH</v>
      </c>
      <c r="C62" t="s">
        <v>146</v>
      </c>
      <c r="D62" t="s">
        <v>144</v>
      </c>
      <c r="E62" t="s">
        <v>145</v>
      </c>
      <c r="F62">
        <v>31</v>
      </c>
      <c r="G62" t="s">
        <v>166</v>
      </c>
      <c r="H62" t="s">
        <v>167</v>
      </c>
      <c r="I62">
        <v>2164</v>
      </c>
      <c r="J62" t="s">
        <v>184</v>
      </c>
    </row>
    <row r="63" spans="1:10" x14ac:dyDescent="0.25">
      <c r="A63">
        <f t="shared" si="3"/>
        <v>1062</v>
      </c>
      <c r="B63" t="str">
        <f t="shared" si="2"/>
        <v>HERNANDEZ CARRASCO JULY WENDOLIN</v>
      </c>
      <c r="C63" t="s">
        <v>148</v>
      </c>
      <c r="D63" t="s">
        <v>17</v>
      </c>
      <c r="E63" t="s">
        <v>147</v>
      </c>
      <c r="F63">
        <v>22</v>
      </c>
      <c r="G63" t="s">
        <v>162</v>
      </c>
      <c r="H63" t="s">
        <v>171</v>
      </c>
      <c r="I63">
        <v>4124</v>
      </c>
      <c r="J63" t="s">
        <v>183</v>
      </c>
    </row>
    <row r="64" spans="1:10" x14ac:dyDescent="0.25">
      <c r="A64">
        <f t="shared" si="3"/>
        <v>1063</v>
      </c>
      <c r="B64" t="str">
        <f t="shared" si="2"/>
        <v>LARA LOPEZ CARLOS ALBERTO</v>
      </c>
      <c r="C64" t="s">
        <v>150</v>
      </c>
      <c r="D64" t="s">
        <v>149</v>
      </c>
      <c r="E64" t="s">
        <v>43</v>
      </c>
      <c r="F64">
        <v>19</v>
      </c>
      <c r="G64" t="s">
        <v>164</v>
      </c>
      <c r="H64" t="s">
        <v>167</v>
      </c>
      <c r="I64">
        <v>5560</v>
      </c>
      <c r="J64" t="s">
        <v>181</v>
      </c>
    </row>
    <row r="65" spans="1:10" x14ac:dyDescent="0.25">
      <c r="A65">
        <f t="shared" si="3"/>
        <v>1064</v>
      </c>
      <c r="B65" t="str">
        <f t="shared" si="2"/>
        <v>LOMELI RODRIGUEZ ARMANDO</v>
      </c>
      <c r="C65" t="s">
        <v>152</v>
      </c>
      <c r="D65" t="s">
        <v>151</v>
      </c>
      <c r="E65" t="s">
        <v>32</v>
      </c>
      <c r="F65">
        <v>29</v>
      </c>
      <c r="G65" t="s">
        <v>165</v>
      </c>
      <c r="H65" t="s">
        <v>167</v>
      </c>
      <c r="I65">
        <v>8599</v>
      </c>
      <c r="J65" t="s">
        <v>183</v>
      </c>
    </row>
    <row r="66" spans="1:10" x14ac:dyDescent="0.25">
      <c r="A66">
        <f t="shared" si="3"/>
        <v>1065</v>
      </c>
      <c r="B66" t="str">
        <f t="shared" ref="B66:B69" si="4">D66&amp;" "&amp;E66&amp;" "&amp;C66</f>
        <v>PEREZ RIVERA JONATHAN</v>
      </c>
      <c r="C66" t="s">
        <v>153</v>
      </c>
      <c r="D66" t="s">
        <v>61</v>
      </c>
      <c r="E66" t="s">
        <v>38</v>
      </c>
      <c r="F66">
        <v>33</v>
      </c>
      <c r="G66" t="s">
        <v>163</v>
      </c>
      <c r="H66" t="s">
        <v>171</v>
      </c>
      <c r="I66">
        <v>1734</v>
      </c>
      <c r="J66" t="s">
        <v>182</v>
      </c>
    </row>
    <row r="67" spans="1:10" x14ac:dyDescent="0.25">
      <c r="A67">
        <f t="shared" ref="A67:A69" si="5">+A66+1</f>
        <v>1066</v>
      </c>
      <c r="B67" t="str">
        <f t="shared" si="4"/>
        <v>REYNOSO VELA JORDAN DE JESUS</v>
      </c>
      <c r="C67" t="s">
        <v>156</v>
      </c>
      <c r="D67" t="s">
        <v>154</v>
      </c>
      <c r="E67" t="s">
        <v>155</v>
      </c>
      <c r="F67">
        <v>21</v>
      </c>
      <c r="G67" t="s">
        <v>164</v>
      </c>
      <c r="H67" t="s">
        <v>168</v>
      </c>
      <c r="I67">
        <v>2705</v>
      </c>
      <c r="J67" t="s">
        <v>182</v>
      </c>
    </row>
    <row r="68" spans="1:10" x14ac:dyDescent="0.25">
      <c r="A68">
        <f t="shared" si="5"/>
        <v>1067</v>
      </c>
      <c r="B68" t="str">
        <f t="shared" si="4"/>
        <v>SANDOVAL VALERA GABRIEL ALEJANDRO</v>
      </c>
      <c r="C68" t="s">
        <v>158</v>
      </c>
      <c r="D68" t="s">
        <v>29</v>
      </c>
      <c r="E68" t="s">
        <v>157</v>
      </c>
      <c r="F68">
        <v>34</v>
      </c>
      <c r="G68" t="s">
        <v>163</v>
      </c>
      <c r="H68" t="s">
        <v>169</v>
      </c>
      <c r="I68">
        <v>3824</v>
      </c>
      <c r="J68" t="s">
        <v>175</v>
      </c>
    </row>
    <row r="69" spans="1:10" x14ac:dyDescent="0.25">
      <c r="A69">
        <f t="shared" si="5"/>
        <v>1068</v>
      </c>
      <c r="B69" t="str">
        <f t="shared" si="4"/>
        <v>TORRES ORNELAS MILAGROS KRISTAL</v>
      </c>
      <c r="C69" t="s">
        <v>160</v>
      </c>
      <c r="D69" t="s">
        <v>97</v>
      </c>
      <c r="E69" t="s">
        <v>159</v>
      </c>
      <c r="F69">
        <v>21</v>
      </c>
      <c r="G69" t="s">
        <v>165</v>
      </c>
      <c r="H69" t="s">
        <v>170</v>
      </c>
      <c r="I69">
        <v>468</v>
      </c>
      <c r="J69" t="s">
        <v>186</v>
      </c>
    </row>
    <row r="70" spans="1:10" x14ac:dyDescent="0.25">
      <c r="A70">
        <f>+A69+1</f>
        <v>1069</v>
      </c>
      <c r="B70" t="s">
        <v>192</v>
      </c>
      <c r="C70" t="s">
        <v>193</v>
      </c>
      <c r="D70" t="s">
        <v>12</v>
      </c>
      <c r="E70" t="s">
        <v>194</v>
      </c>
      <c r="F70">
        <v>17</v>
      </c>
      <c r="G70" t="s">
        <v>166</v>
      </c>
      <c r="H70" t="s">
        <v>191</v>
      </c>
      <c r="I70">
        <v>0</v>
      </c>
      <c r="J70" t="s">
        <v>183</v>
      </c>
    </row>
    <row r="71" spans="1:10" x14ac:dyDescent="0.25">
      <c r="B71" t="s">
        <v>195</v>
      </c>
      <c r="C71" t="s">
        <v>196</v>
      </c>
      <c r="D71" t="s">
        <v>35</v>
      </c>
      <c r="E71" t="s">
        <v>197</v>
      </c>
      <c r="F71">
        <v>29</v>
      </c>
      <c r="G71" t="s">
        <v>166</v>
      </c>
      <c r="H71" t="s">
        <v>198</v>
      </c>
      <c r="I71">
        <v>8907</v>
      </c>
      <c r="J71" t="s">
        <v>185</v>
      </c>
    </row>
    <row r="72" spans="1:10" x14ac:dyDescent="0.25">
      <c r="B72" s="2"/>
      <c r="C72" s="2"/>
      <c r="D72" s="2"/>
      <c r="E72" s="2"/>
      <c r="F72" s="2"/>
      <c r="G72" s="2"/>
      <c r="H72" s="2"/>
      <c r="I72" s="2"/>
      <c r="J72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895CC-BD3F-43DB-A932-68747BA50C6B}">
  <sheetPr codeName="Hoja1"/>
  <dimension ref="B2:L17"/>
  <sheetViews>
    <sheetView workbookViewId="0">
      <selection activeCell="K6" sqref="K6"/>
    </sheetView>
  </sheetViews>
  <sheetFormatPr baseColWidth="10" defaultRowHeight="15" x14ac:dyDescent="0.25"/>
  <cols>
    <col min="2" max="3" width="33.7109375" bestFit="1" customWidth="1"/>
    <col min="8" max="8" width="15.7109375" bestFit="1" customWidth="1"/>
    <col min="10" max="10" width="12.42578125" bestFit="1" customWidth="1"/>
  </cols>
  <sheetData>
    <row r="2" spans="2:12" x14ac:dyDescent="0.25">
      <c r="B2" s="2"/>
      <c r="C2" s="2"/>
      <c r="D2" s="2"/>
      <c r="E2" s="2"/>
      <c r="F2" s="2"/>
      <c r="G2" s="2"/>
      <c r="H2" s="2"/>
      <c r="I2" s="2"/>
      <c r="J2" s="2"/>
    </row>
    <row r="6" spans="2:12" x14ac:dyDescent="0.25">
      <c r="C6" s="1"/>
      <c r="D6" s="1"/>
      <c r="E6" s="1"/>
      <c r="F6" s="1"/>
      <c r="G6" s="1"/>
      <c r="H6" s="1"/>
      <c r="I6" s="1"/>
      <c r="J6" s="1"/>
      <c r="K6" s="1"/>
      <c r="L6" s="1"/>
    </row>
    <row r="8" spans="2:12" x14ac:dyDescent="0.25">
      <c r="B8" t="s">
        <v>0</v>
      </c>
    </row>
    <row r="9" spans="2:12" x14ac:dyDescent="0.25">
      <c r="B9" t="s">
        <v>9</v>
      </c>
      <c r="C9" t="s">
        <v>195</v>
      </c>
    </row>
    <row r="10" spans="2:12" x14ac:dyDescent="0.25">
      <c r="B10" t="s">
        <v>2</v>
      </c>
      <c r="C10" t="s">
        <v>196</v>
      </c>
    </row>
    <row r="11" spans="2:12" x14ac:dyDescent="0.25">
      <c r="B11" t="s">
        <v>7</v>
      </c>
      <c r="C11" t="s">
        <v>35</v>
      </c>
    </row>
    <row r="12" spans="2:12" x14ac:dyDescent="0.25">
      <c r="B12" t="s">
        <v>8</v>
      </c>
      <c r="C12" t="s">
        <v>197</v>
      </c>
    </row>
    <row r="13" spans="2:12" x14ac:dyDescent="0.25">
      <c r="B13" t="s">
        <v>3</v>
      </c>
      <c r="C13">
        <v>29</v>
      </c>
    </row>
    <row r="14" spans="2:12" x14ac:dyDescent="0.25">
      <c r="B14" t="s">
        <v>4</v>
      </c>
      <c r="C14" t="s">
        <v>166</v>
      </c>
    </row>
    <row r="15" spans="2:12" x14ac:dyDescent="0.25">
      <c r="B15" t="s">
        <v>6</v>
      </c>
      <c r="C15" t="s">
        <v>198</v>
      </c>
    </row>
    <row r="16" spans="2:12" x14ac:dyDescent="0.25">
      <c r="B16" t="s">
        <v>172</v>
      </c>
      <c r="C16">
        <v>8907</v>
      </c>
    </row>
    <row r="17" spans="2:3" x14ac:dyDescent="0.25">
      <c r="B17" t="s">
        <v>5</v>
      </c>
      <c r="C17" t="s">
        <v>185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Base</vt:lpstr>
      <vt:lpstr>Hoja1</vt:lpstr>
      <vt:lpstr>Dos</vt:lpstr>
      <vt:lpstr>ID</vt:lpstr>
      <vt:lpstr>lstBusqueda</vt:lpstr>
      <vt:lpstr>Uno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APRENDIZ</cp:lastModifiedBy>
  <dcterms:created xsi:type="dcterms:W3CDTF">2013-01-19T21:55:24Z</dcterms:created>
  <dcterms:modified xsi:type="dcterms:W3CDTF">2025-04-08T18:26:05Z</dcterms:modified>
</cp:coreProperties>
</file>